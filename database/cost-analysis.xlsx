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🤖 LLM Analysis" sheetId="2" state="visible" r:id="rId2"/>
    <sheet xmlns:r="http://schemas.openxmlformats.org/officeDocument/2006/relationships" name="🔍 Search API" sheetId="3" state="visible" r:id="rId3"/>
    <sheet xmlns:r="http://schemas.openxmlformats.org/officeDocument/2006/relationships" name="🕷️ Crawl API" sheetId="4" state="visible" r:id="rId4"/>
    <sheet xmlns:r="http://schemas.openxmlformats.org/officeDocument/2006/relationships" name="🖥️ Infrastructure" sheetId="5" state="visible" r:id="rId5"/>
    <sheet xmlns:r="http://schemas.openxmlformats.org/officeDocument/2006/relationships" name="📈 Scaling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0.00000"/>
    <numFmt numFmtId="166" formatCode="&quot;$&quot;0.0000"/>
    <numFmt numFmtId="167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495057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971C2"/>
      <sz val="10"/>
    </font>
    <font>
      <name val="Calibri"/>
      <color rgb="00495057"/>
      <sz val="10"/>
    </font>
    <font>
      <name val="Calibri"/>
      <b val="1"/>
      <color rgb="001971C2"/>
      <sz val="11"/>
    </font>
    <font>
      <name val="Calibri"/>
      <b val="1"/>
      <color rgb="00FFFFFF"/>
      <sz val="13"/>
    </font>
    <font>
      <name val="Calibri"/>
      <b val="1"/>
      <color rgb="002F9E44"/>
      <sz val="10"/>
    </font>
    <font>
      <name val="Calibri"/>
      <b val="1"/>
      <color rgb="002F9E44"/>
      <sz val="11"/>
    </font>
    <font>
      <name val="Calibri"/>
      <b val="1"/>
      <color rgb="000C8599"/>
      <sz val="10"/>
    </font>
    <font>
      <name val="Calibri"/>
      <b val="1"/>
      <color rgb="00D9480F"/>
      <sz val="10"/>
    </font>
    <font>
      <name val="Calibri"/>
      <b val="1"/>
      <color rgb="007048E8"/>
      <sz val="11"/>
    </font>
    <font>
      <name val="Calibri"/>
      <b val="1"/>
      <color rgb="00FFFFFF"/>
      <sz val="12"/>
    </font>
    <font>
      <name val="Calibri"/>
      <b val="1"/>
      <color rgb="007048E8"/>
      <sz val="10"/>
    </font>
    <font>
      <name val="Calibri"/>
      <b val="1"/>
      <color rgb="00000000"/>
      <sz val="10"/>
    </font>
    <font>
      <name val="Calibri"/>
      <b val="1"/>
      <color rgb="00E67700"/>
      <sz val="11"/>
    </font>
    <font>
      <name val="Calibri"/>
      <b val="1"/>
      <color rgb="00E67700"/>
      <sz val="10"/>
    </font>
  </fonts>
  <fills count="1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971C2"/>
        <bgColor rgb="001971C2"/>
      </patternFill>
    </fill>
    <fill>
      <patternFill patternType="solid">
        <fgColor rgb="00DEE2E6"/>
        <bgColor rgb="00DEE2E6"/>
      </patternFill>
    </fill>
    <fill>
      <patternFill patternType="solid">
        <fgColor rgb="00F1F3F5"/>
        <bgColor rgb="00F1F3F5"/>
      </patternFill>
    </fill>
    <fill>
      <patternFill patternType="solid">
        <fgColor rgb="00D3F9D8"/>
        <bgColor rgb="00D3F9D8"/>
      </patternFill>
    </fill>
    <fill>
      <patternFill patternType="solid">
        <fgColor rgb="00D0EBFF"/>
        <bgColor rgb="00D0EBFF"/>
      </patternFill>
    </fill>
    <fill>
      <patternFill patternType="solid">
        <fgColor rgb="00FFE8CC"/>
        <bgColor rgb="00FFE8CC"/>
      </patternFill>
    </fill>
    <fill>
      <patternFill patternType="solid">
        <fgColor rgb="00F3D9FA"/>
        <bgColor rgb="00F3D9FA"/>
      </patternFill>
    </fill>
    <fill>
      <patternFill patternType="solid">
        <fgColor rgb="00FFF9DB"/>
        <bgColor rgb="00FFF9DB"/>
      </patternFill>
    </fill>
    <fill>
      <patternFill patternType="solid">
        <fgColor rgb="002F9E44"/>
        <bgColor rgb="002F9E44"/>
      </patternFill>
    </fill>
    <fill>
      <patternFill patternType="solid">
        <fgColor rgb="000C8599"/>
        <bgColor rgb="000C8599"/>
      </patternFill>
    </fill>
    <fill>
      <patternFill patternType="solid">
        <fgColor rgb="00FFF3BF"/>
        <bgColor rgb="00FFF3BF"/>
      </patternFill>
    </fill>
    <fill>
      <patternFill patternType="solid">
        <fgColor rgb="00D9480F"/>
        <bgColor rgb="00D9480F"/>
      </patternFill>
    </fill>
    <fill>
      <patternFill patternType="solid">
        <fgColor rgb="007048E8"/>
        <bgColor rgb="007048E8"/>
      </patternFill>
    </fill>
    <fill>
      <patternFill patternType="solid">
        <fgColor rgb="00E67700"/>
        <bgColor rgb="00E6770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164" fontId="8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164" fontId="8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9" fillId="2" borderId="2" applyAlignment="1" pivotButton="0" quotePrefix="0" xfId="0">
      <alignment horizontal="left" vertical="center"/>
    </xf>
    <xf numFmtId="164" fontId="9" fillId="2" borderId="2" applyAlignment="1" pivotButton="0" quotePrefix="0" xfId="0">
      <alignment horizontal="center" vertical="center"/>
    </xf>
    <xf numFmtId="165" fontId="9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164" fontId="8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164" fontId="15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16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164" fontId="18" fillId="13" borderId="1" applyAlignment="1" pivotButton="0" quotePrefix="0" xfId="0">
      <alignment horizontal="center" vertical="center"/>
    </xf>
    <xf numFmtId="166" fontId="18" fillId="13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4" fontId="19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4" fontId="19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</cols>
  <sheetData>
    <row r="1" ht="36" customHeight="1">
      <c r="B1" s="1" t="inlineStr">
        <is>
          <t>MINING INTELLIGENCE PIPELINE — COST ANALYSIS</t>
        </is>
      </c>
    </row>
    <row r="2" ht="22" customHeight="1">
      <c r="B2" s="2" t="inlineStr">
        <is>
          <t>Monthly estimate  ·  10,000 companies  ·  Paid API tiers  ·  Higher-side token assumptions (25k chars/page)</t>
        </is>
      </c>
    </row>
    <row r="4" ht="26" customHeight="1">
      <c r="B4" s="3" t="inlineStr">
        <is>
          <t xml:space="preserve">  KEY ASSUMPTIONS</t>
        </is>
      </c>
    </row>
    <row r="5" ht="20" customHeight="1">
      <c r="B5" s="4" t="inlineStr">
        <is>
          <t>Parameter</t>
        </is>
      </c>
      <c r="C5" s="4" t="inlineStr">
        <is>
          <t>Value</t>
        </is>
      </c>
      <c r="D5" s="4" t="inlineStr">
        <is>
          <t>Unit / Notes</t>
        </is>
      </c>
    </row>
    <row r="6" ht="20" customHeight="1">
      <c r="B6" s="5" t="inlineStr">
        <is>
          <t>Companies processed / month</t>
        </is>
      </c>
      <c r="C6" s="6" t="inlineStr">
        <is>
          <t>10,000</t>
        </is>
      </c>
      <c r="D6" s="7" t="inlineStr">
        <is>
          <t>companies</t>
        </is>
      </c>
    </row>
    <row r="7" ht="20" customHeight="1">
      <c r="B7" s="8" t="inlineStr">
        <is>
          <t>Input characters per page (higher side)</t>
        </is>
      </c>
      <c r="C7" s="9" t="inlineStr">
        <is>
          <t>25,000</t>
        </is>
      </c>
      <c r="D7" s="10" t="inlineStr">
        <is>
          <t>chars — ~6,250 tokens/page</t>
        </is>
      </c>
    </row>
    <row r="8" ht="20" customHeight="1">
      <c r="B8" s="5" t="inlineStr">
        <is>
          <t>Characters per LLM token (approx)</t>
        </is>
      </c>
      <c r="C8" s="6" t="inlineStr">
        <is>
          <t>4</t>
        </is>
      </c>
      <c r="D8" s="7" t="inlineStr">
        <is>
          <t>standard GPT/Gemini estimate</t>
        </is>
      </c>
    </row>
    <row r="9" ht="20" customHeight="1">
      <c r="B9" s="8" t="inlineStr">
        <is>
          <t>LLM calls per company</t>
        </is>
      </c>
      <c r="C9" s="9" t="inlineStr">
        <is>
          <t>2</t>
        </is>
      </c>
      <c r="D9" s="10" t="inlineStr">
        <is>
          <t>1 leadership + 1 assets</t>
        </is>
      </c>
    </row>
    <row r="10" ht="20" customHeight="1">
      <c r="B10" s="5" t="inlineStr">
        <is>
          <t>Input tokens per LLM call</t>
        </is>
      </c>
      <c r="C10" s="6" t="inlineStr">
        <is>
          <t>7,000</t>
        </is>
      </c>
      <c r="D10" s="7" t="inlineStr">
        <is>
          <t>6,250 content + ~750 prompt</t>
        </is>
      </c>
    </row>
    <row r="11" ht="20" customHeight="1">
      <c r="B11" s="8" t="inlineStr">
        <is>
          <t>Output tokens per LLM call</t>
        </is>
      </c>
      <c r="C11" s="9" t="inlineStr">
        <is>
          <t>1,750</t>
        </is>
      </c>
      <c r="D11" s="10" t="inlineStr">
        <is>
          <t>~1,500 leadership / ~2,000 assets avg</t>
        </is>
      </c>
    </row>
    <row r="12" ht="20" customHeight="1">
      <c r="B12" s="5" t="inlineStr">
        <is>
          <t>Total input tokens per company</t>
        </is>
      </c>
      <c r="C12" s="6" t="inlineStr">
        <is>
          <t>14,000</t>
        </is>
      </c>
      <c r="D12" s="7" t="inlineStr">
        <is>
          <t>2 × 7,000</t>
        </is>
      </c>
    </row>
    <row r="13" ht="20" customHeight="1">
      <c r="B13" s="8" t="inlineStr">
        <is>
          <t>Total output tokens per company</t>
        </is>
      </c>
      <c r="C13" s="9" t="inlineStr">
        <is>
          <t>3,500</t>
        </is>
      </c>
      <c r="D13" s="10" t="inlineStr">
        <is>
          <t>2 × 1,750</t>
        </is>
      </c>
    </row>
    <row r="14" ht="20" customHeight="1">
      <c r="B14" s="5" t="inlineStr">
        <is>
          <t>Search queries per company</t>
        </is>
      </c>
      <c r="C14" s="6" t="inlineStr">
        <is>
          <t>2</t>
        </is>
      </c>
      <c r="D14" s="7" t="inlineStr">
        <is>
          <t>1 leadership + 1 assets</t>
        </is>
      </c>
    </row>
    <row r="15" ht="20" customHeight="1">
      <c r="B15" s="8" t="inlineStr">
        <is>
          <t>Search results per query</t>
        </is>
      </c>
      <c r="C15" s="9" t="inlineStr">
        <is>
          <t>5</t>
        </is>
      </c>
      <c r="D15" s="10" t="inlineStr">
        <is>
          <t>URLs returned</t>
        </is>
      </c>
    </row>
    <row r="16" ht="20" customHeight="1">
      <c r="B16" s="5" t="inlineStr">
        <is>
          <t>Max URLs crawled per topic</t>
        </is>
      </c>
      <c r="C16" s="6" t="inlineStr">
        <is>
          <t>3</t>
        </is>
      </c>
      <c r="D16" s="7" t="inlineStr">
        <is>
          <t>leadership + assets separately</t>
        </is>
      </c>
    </row>
    <row r="17" ht="20" customHeight="1">
      <c r="B17" s="8" t="inlineStr">
        <is>
          <t>Total crawl requests per company</t>
        </is>
      </c>
      <c r="C17" s="9" t="inlineStr">
        <is>
          <t>6</t>
        </is>
      </c>
      <c r="D17" s="10" t="inlineStr">
        <is>
          <t>3 + 3</t>
        </is>
      </c>
    </row>
    <row r="18" ht="20" customHeight="1">
      <c r="B18" s="5" t="inlineStr">
        <is>
          <t>LLM model</t>
        </is>
      </c>
      <c r="C18" s="6" t="inlineStr">
        <is>
          <t>Gemini 2.0 Flash</t>
        </is>
      </c>
      <c r="D18" s="7" t="inlineStr">
        <is>
          <t>Google AI — paid tier</t>
        </is>
      </c>
    </row>
    <row r="19" ht="20" customHeight="1">
      <c r="B19" s="8" t="inlineStr">
        <is>
          <t>Search provider</t>
        </is>
      </c>
      <c r="C19" s="9" t="inlineStr">
        <is>
          <t>Serper API</t>
        </is>
      </c>
      <c r="D19" s="10" t="inlineStr">
        <is>
          <t>google.serper.dev — Starter plan</t>
        </is>
      </c>
    </row>
    <row r="20" ht="20" customHeight="1">
      <c r="B20" s="5" t="inlineStr">
        <is>
          <t>Crawl provider</t>
        </is>
      </c>
      <c r="C20" s="6" t="inlineStr">
        <is>
          <t>Jina AI Reader</t>
        </is>
      </c>
      <c r="D20" s="7" t="inlineStr">
        <is>
          <t>r.jina.ai — paid tier</t>
        </is>
      </c>
    </row>
    <row r="21" ht="20" customHeight="1">
      <c r="B21" s="8" t="inlineStr">
        <is>
          <t>Concurrent workers</t>
        </is>
      </c>
      <c r="C21" s="9" t="inlineStr">
        <is>
          <t>10</t>
        </is>
      </c>
      <c r="D21" s="10" t="inlineStr">
        <is>
          <t>configurable via CONCURRENT_COMPANIES</t>
        </is>
      </c>
    </row>
    <row r="23" ht="26" customHeight="1">
      <c r="B23" s="3" t="inlineStr">
        <is>
          <t xml:space="preserve">  MONTHLY COST SUMMARY</t>
        </is>
      </c>
    </row>
    <row r="24" ht="22" customHeight="1">
      <c r="B24" s="4" t="inlineStr">
        <is>
          <t>Cost Category</t>
        </is>
      </c>
      <c r="C24" s="4" t="inlineStr">
        <is>
          <t>Monthly Cost</t>
        </is>
      </c>
      <c r="D24" s="4" t="inlineStr">
        <is>
          <t>Annual Cost</t>
        </is>
      </c>
      <c r="E24" s="4" t="inlineStr">
        <is>
          <t>Per-Company Cost</t>
        </is>
      </c>
      <c r="F24" s="4" t="inlineStr">
        <is>
          <t>Notes</t>
        </is>
      </c>
    </row>
    <row r="25" ht="22" customHeight="1">
      <c r="B25" s="11" t="inlineStr">
        <is>
          <t>🤖  LLM — Gemini 2.0 Flash (Paid Tier)</t>
        </is>
      </c>
      <c r="C25" s="12" t="n">
        <v>21</v>
      </c>
      <c r="D25" s="13" t="n">
        <v>252</v>
      </c>
      <c r="E25" s="14" t="n">
        <v>0.0021</v>
      </c>
      <c r="F25" s="15" t="inlineStr">
        <is>
          <t>20,000 API calls / month</t>
        </is>
      </c>
    </row>
    <row r="26" ht="22" customHeight="1">
      <c r="B26" s="16" t="inlineStr">
        <is>
          <t>🔍  Search API — Serper Starter Plan</t>
        </is>
      </c>
      <c r="C26" s="17" t="n">
        <v>50</v>
      </c>
      <c r="D26" s="18" t="n">
        <v>600</v>
      </c>
      <c r="E26" s="19" t="n">
        <v>0.005</v>
      </c>
      <c r="F26" s="20" t="inlineStr">
        <is>
          <t>20,000 queries — uses 40% of 50k plan</t>
        </is>
      </c>
    </row>
    <row r="27" ht="22" customHeight="1">
      <c r="B27" s="21" t="inlineStr">
        <is>
          <t>🕷️   Web Crawling — Jina AI Reader (Paid)</t>
        </is>
      </c>
      <c r="C27" s="22" t="n">
        <v>60</v>
      </c>
      <c r="D27" s="23" t="n">
        <v>720</v>
      </c>
      <c r="E27" s="24" t="n">
        <v>0.006</v>
      </c>
      <c r="F27" s="25" t="inlineStr">
        <is>
          <t>60,000 URL requests / month</t>
        </is>
      </c>
    </row>
    <row r="28" ht="22" customHeight="1">
      <c r="B28" s="26" t="inlineStr">
        <is>
          <t>🖥️   Infrastructure — Backend + DB + FE</t>
        </is>
      </c>
      <c r="C28" s="27" t="n">
        <v>79</v>
      </c>
      <c r="D28" s="28" t="n">
        <v>948</v>
      </c>
      <c r="E28" s="29" t="n">
        <v>0.007900000000000001</v>
      </c>
      <c r="F28" s="30" t="inlineStr">
        <is>
          <t>DigitalOcean + Supabase + Vercel</t>
        </is>
      </c>
    </row>
    <row r="29" ht="22" customHeight="1">
      <c r="B29" s="31" t="inlineStr">
        <is>
          <t>📡  Monitoring &amp; Miscellaneous</t>
        </is>
      </c>
      <c r="C29" s="32" t="n">
        <v>10</v>
      </c>
      <c r="D29" s="33" t="n">
        <v>120</v>
      </c>
      <c r="E29" s="34" t="n">
        <v>0.001</v>
      </c>
      <c r="F29" s="35" t="inlineStr">
        <is>
          <t>Alerts, domain, SSL</t>
        </is>
      </c>
    </row>
    <row r="30" ht="28" customHeight="1">
      <c r="B30" s="36" t="inlineStr">
        <is>
          <t>💰  GRAND TOTAL</t>
        </is>
      </c>
      <c r="C30" s="37" t="n">
        <v>220</v>
      </c>
      <c r="D30" s="37" t="n">
        <v>2640</v>
      </c>
      <c r="E30" s="38" t="n">
        <v>0.022</v>
      </c>
      <c r="F30" s="39" t="inlineStr">
        <is>
          <t>~$0.022 per company — very strong unit economics</t>
        </is>
      </c>
    </row>
    <row r="32" ht="26" customHeight="1">
      <c r="B32" s="3" t="inlineStr">
        <is>
          <t xml:space="preserve">  KEY METRICS</t>
        </is>
      </c>
    </row>
    <row r="33" ht="20" customHeight="1">
      <c r="B33" s="40" t="inlineStr">
        <is>
          <t>Cost per company</t>
        </is>
      </c>
      <c r="C33" s="41" t="inlineStr">
        <is>
          <t>$0.0220</t>
        </is>
      </c>
      <c r="D33" s="7" t="inlineStr"/>
    </row>
    <row r="34" ht="20" customHeight="1">
      <c r="B34" s="42" t="inlineStr">
        <is>
          <t>Cost per 1,000 companies</t>
        </is>
      </c>
      <c r="C34" s="43" t="inlineStr">
        <is>
          <t>$22.00</t>
        </is>
      </c>
      <c r="D34" s="10" t="inlineStr"/>
    </row>
    <row r="35" ht="20" customHeight="1">
      <c r="B35" s="40" t="inlineStr">
        <is>
          <t>Monthly LLM API calls</t>
        </is>
      </c>
      <c r="C35" s="41" t="inlineStr">
        <is>
          <t>20,000</t>
        </is>
      </c>
      <c r="D35" s="7" t="inlineStr">
        <is>
          <t>2 per company</t>
        </is>
      </c>
    </row>
    <row r="36" ht="20" customHeight="1">
      <c r="B36" s="42" t="inlineStr">
        <is>
          <t>Monthly search queries</t>
        </is>
      </c>
      <c r="C36" s="43" t="inlineStr">
        <is>
          <t>20,000</t>
        </is>
      </c>
      <c r="D36" s="10" t="inlineStr">
        <is>
          <t>2 per company</t>
        </is>
      </c>
    </row>
    <row r="37" ht="20" customHeight="1">
      <c r="B37" s="40" t="inlineStr">
        <is>
          <t>Monthly crawl requests</t>
        </is>
      </c>
      <c r="C37" s="41" t="inlineStr">
        <is>
          <t>60,000</t>
        </is>
      </c>
      <c r="D37" s="7" t="inlineStr">
        <is>
          <t>6 per company</t>
        </is>
      </c>
    </row>
    <row r="38" ht="20" customHeight="1">
      <c r="B38" s="42" t="inlineStr">
        <is>
          <t>Total input tokens / month</t>
        </is>
      </c>
      <c r="C38" s="43" t="inlineStr">
        <is>
          <t>140,000,000</t>
        </is>
      </c>
      <c r="D38" s="10" t="inlineStr">
        <is>
          <t>140M tokens</t>
        </is>
      </c>
    </row>
    <row r="39" ht="20" customHeight="1">
      <c r="B39" s="40" t="inlineStr">
        <is>
          <t>Total output tokens / month</t>
        </is>
      </c>
      <c r="C39" s="41" t="inlineStr">
        <is>
          <t>35,000,000</t>
        </is>
      </c>
      <c r="D39" s="7" t="inlineStr">
        <is>
          <t>35M tokens</t>
        </is>
      </c>
    </row>
    <row r="40" ht="20" customHeight="1">
      <c r="B40" s="42" t="inlineStr">
        <is>
          <t>Est. processing time (10 workers)</t>
        </is>
      </c>
      <c r="C40" s="43" t="inlineStr">
        <is>
          <t>~11 hours</t>
        </is>
      </c>
      <c r="D40" s="10" t="inlineStr">
        <is>
          <t>for full 10k batch</t>
        </is>
      </c>
    </row>
    <row r="41" ht="20" customHeight="1">
      <c r="B41" s="40" t="inlineStr">
        <is>
          <t>Annual cost (projected)</t>
        </is>
      </c>
      <c r="C41" s="41" t="inlineStr">
        <is>
          <t>$2,640.00</t>
        </is>
      </c>
      <c r="D41" s="7" t="inlineStr"/>
    </row>
  </sheetData>
  <mergeCells count="38">
    <mergeCell ref="B2:G2"/>
    <mergeCell ref="D11:F11"/>
    <mergeCell ref="D13:F13"/>
    <mergeCell ref="F29:G29"/>
    <mergeCell ref="D39:G39"/>
    <mergeCell ref="B23:G23"/>
    <mergeCell ref="F25:G25"/>
    <mergeCell ref="B1:G1"/>
    <mergeCell ref="D17:F17"/>
    <mergeCell ref="D33:G33"/>
    <mergeCell ref="D7:F7"/>
    <mergeCell ref="D38:G38"/>
    <mergeCell ref="D16:F16"/>
    <mergeCell ref="F24:G24"/>
    <mergeCell ref="F30:G30"/>
    <mergeCell ref="D35:G35"/>
    <mergeCell ref="D12:F12"/>
    <mergeCell ref="D18:F18"/>
    <mergeCell ref="D9:F9"/>
    <mergeCell ref="D34:G34"/>
    <mergeCell ref="D8:F8"/>
    <mergeCell ref="F26:G26"/>
    <mergeCell ref="D15:F15"/>
    <mergeCell ref="D40:G40"/>
    <mergeCell ref="D14:F14"/>
    <mergeCell ref="D5:F5"/>
    <mergeCell ref="D36:G36"/>
    <mergeCell ref="B32:G32"/>
    <mergeCell ref="B4:G4"/>
    <mergeCell ref="F28:G28"/>
    <mergeCell ref="D20:F20"/>
    <mergeCell ref="F27:G27"/>
    <mergeCell ref="D37:G37"/>
    <mergeCell ref="D10:F10"/>
    <mergeCell ref="D41:G41"/>
    <mergeCell ref="D19:F19"/>
    <mergeCell ref="D21:F2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22" customWidth="1" min="5" max="5"/>
    <col width="3" customWidth="1" min="6" max="6"/>
  </cols>
  <sheetData>
    <row r="1" ht="36" customHeight="1">
      <c r="B1" s="44" t="inlineStr">
        <is>
          <t>LLM COST ANALYSIS — GEMINI 2.0 FLASH (PAID TIER)</t>
        </is>
      </c>
    </row>
    <row r="3" ht="26" customHeight="1">
      <c r="B3" s="3" t="inlineStr">
        <is>
          <t xml:space="preserve">  TOKEN BREAKDOWN PER COMPANY  (higher-side: 25,000 chars / page)</t>
        </is>
      </c>
    </row>
    <row r="4" ht="20" customHeight="1">
      <c r="B4" s="4" t="inlineStr">
        <is>
          <t>Component</t>
        </is>
      </c>
      <c r="C4" s="4" t="inlineStr">
        <is>
          <t>Characters</t>
        </is>
      </c>
      <c r="D4" s="4" t="inlineStr">
        <is>
          <t>Tokens</t>
        </is>
      </c>
      <c r="E4" s="4" t="inlineStr">
        <is>
          <t>Notes</t>
        </is>
      </c>
    </row>
    <row r="5" ht="20" customHeight="1">
      <c r="B5" s="5" t="inlineStr">
        <is>
          <t>Leadership page content (merged, 3 URLs)</t>
        </is>
      </c>
      <c r="C5" s="45" t="inlineStr">
        <is>
          <t>25,000</t>
        </is>
      </c>
      <c r="D5" s="41" t="inlineStr">
        <is>
          <t>6,250</t>
        </is>
      </c>
      <c r="E5" s="7" t="inlineStr">
        <is>
          <t>25k chars ÷ 4 = 6,250 tokens</t>
        </is>
      </c>
    </row>
    <row r="6" ht="20" customHeight="1">
      <c r="B6" s="8" t="inlineStr">
        <is>
          <t>Leadership prompt template overhead</t>
        </is>
      </c>
      <c r="C6" s="46" t="inlineStr">
        <is>
          <t>2,800</t>
        </is>
      </c>
      <c r="D6" s="43" t="inlineStr">
        <is>
          <t>700</t>
        </is>
      </c>
      <c r="E6" s="10" t="inlineStr">
        <is>
          <t>System instructions + JSON schema</t>
        </is>
      </c>
    </row>
    <row r="7" ht="20" customHeight="1">
      <c r="B7" s="5" t="inlineStr">
        <is>
          <t>Assets page content (merged, 3 URLs)</t>
        </is>
      </c>
      <c r="C7" s="45" t="inlineStr">
        <is>
          <t>25,000</t>
        </is>
      </c>
      <c r="D7" s="41" t="inlineStr">
        <is>
          <t>6,250</t>
        </is>
      </c>
      <c r="E7" s="7" t="inlineStr">
        <is>
          <t>25k chars ÷ 4 = 6,250 tokens</t>
        </is>
      </c>
    </row>
    <row r="8" ht="20" customHeight="1">
      <c r="B8" s="8" t="inlineStr">
        <is>
          <t>Assets prompt template overhead</t>
        </is>
      </c>
      <c r="C8" s="46" t="inlineStr">
        <is>
          <t>3,200</t>
        </is>
      </c>
      <c r="D8" s="43" t="inlineStr">
        <is>
          <t>800</t>
        </is>
      </c>
      <c r="E8" s="10" t="inlineStr">
        <is>
          <t>System instructions + JSON schema</t>
        </is>
      </c>
    </row>
    <row r="9" ht="20" customHeight="1">
      <c r="B9" s="47" t="inlineStr">
        <is>
          <t>TOTAL INPUT TOKENS / COMPANY</t>
        </is>
      </c>
      <c r="C9" s="48" t="inlineStr"/>
      <c r="D9" s="49" t="inlineStr">
        <is>
          <t>14,000</t>
        </is>
      </c>
      <c r="E9" s="15" t="inlineStr">
        <is>
          <t>Sum of all input above</t>
        </is>
      </c>
    </row>
    <row r="10" ht="20" customHeight="1">
      <c r="B10" s="8" t="inlineStr">
        <is>
          <t>Leadership JSON output (~10 leaders)</t>
        </is>
      </c>
      <c r="C10" s="46" t="inlineStr"/>
      <c r="D10" s="43" t="inlineStr">
        <is>
          <t>1,500</t>
        </is>
      </c>
      <c r="E10" s="10" t="inlineStr">
        <is>
          <t>name + title + tags + bullets</t>
        </is>
      </c>
    </row>
    <row r="11" ht="20" customHeight="1">
      <c r="B11" s="5" t="inlineStr">
        <is>
          <t>Assets JSON output (~12 assets)</t>
        </is>
      </c>
      <c r="C11" s="45" t="inlineStr"/>
      <c r="D11" s="41" t="inlineStr">
        <is>
          <t>2,000</t>
        </is>
      </c>
      <c r="E11" s="7" t="inlineStr">
        <is>
          <t>name + commodities + coords + status</t>
        </is>
      </c>
    </row>
    <row r="12" ht="20" customHeight="1">
      <c r="B12" s="47" t="inlineStr">
        <is>
          <t>TOTAL OUTPUT TOKENS / COMPANY</t>
        </is>
      </c>
      <c r="C12" s="48" t="inlineStr"/>
      <c r="D12" s="49" t="inlineStr">
        <is>
          <t>3,500</t>
        </is>
      </c>
      <c r="E12" s="15" t="inlineStr">
        <is>
          <t>Sum of all output above</t>
        </is>
      </c>
    </row>
    <row r="14" ht="26" customHeight="1">
      <c r="B14" s="3" t="inlineStr">
        <is>
          <t xml:space="preserve">  GEMINI 2.0 FLASH PRICING (PAID TIER, ≤128k context)</t>
        </is>
      </c>
    </row>
    <row r="15" ht="20" customHeight="1">
      <c r="B15" s="4" t="inlineStr">
        <is>
          <t>Token Type</t>
        </is>
      </c>
      <c r="C15" s="4" t="inlineStr">
        <is>
          <t>Rate</t>
        </is>
      </c>
      <c r="D15" s="4" t="inlineStr">
        <is>
          <t>Unit</t>
        </is>
      </c>
      <c r="E15" s="4" t="inlineStr">
        <is>
          <t>Notes</t>
        </is>
      </c>
    </row>
    <row r="16" ht="20" customHeight="1">
      <c r="B16" s="40" t="inlineStr">
        <is>
          <t>Input tokens</t>
        </is>
      </c>
      <c r="C16" s="50" t="inlineStr">
        <is>
          <t>$0.075</t>
        </is>
      </c>
      <c r="D16" s="45" t="inlineStr">
        <is>
          <t>per 1,000,000 tokens</t>
        </is>
      </c>
      <c r="E16" s="7" t="inlineStr">
        <is>
          <t>Prompts + crawled content</t>
        </is>
      </c>
    </row>
    <row r="17" ht="20" customHeight="1">
      <c r="B17" s="42" t="inlineStr">
        <is>
          <t>Output tokens</t>
        </is>
      </c>
      <c r="C17" s="51" t="inlineStr">
        <is>
          <t>$0.300</t>
        </is>
      </c>
      <c r="D17" s="46" t="inlineStr">
        <is>
          <t>per 1,000,000 tokens</t>
        </is>
      </c>
      <c r="E17" s="10" t="inlineStr">
        <is>
          <t>Extracted JSON responses</t>
        </is>
      </c>
    </row>
    <row r="19" ht="26" customHeight="1">
      <c r="B19" s="3" t="inlineStr">
        <is>
          <t xml:space="preserve">  MONTHLY COST CALCULATION (10,000 companies)</t>
        </is>
      </c>
    </row>
    <row r="20" ht="20" customHeight="1">
      <c r="B20" s="4" t="inlineStr">
        <is>
          <t>Metric</t>
        </is>
      </c>
      <c r="C20" s="4" t="inlineStr">
        <is>
          <t>Per Company</t>
        </is>
      </c>
      <c r="D20" s="4" t="inlineStr">
        <is>
          <t>× 10,000</t>
        </is>
      </c>
      <c r="E20" s="4" t="inlineStr">
        <is>
          <t>Monthly Cost</t>
        </is>
      </c>
    </row>
    <row r="21" ht="20" customHeight="1">
      <c r="B21" s="40" t="inlineStr">
        <is>
          <t>Input token cost</t>
        </is>
      </c>
      <c r="C21" s="45" t="inlineStr">
        <is>
          <t>14,000 tokens × $0.075/1M</t>
        </is>
      </c>
      <c r="D21" s="45">
        <f> 140M tokens</f>
        <v/>
      </c>
      <c r="E21" s="50" t="inlineStr">
        <is>
          <t>$10.50</t>
        </is>
      </c>
    </row>
    <row r="22" ht="20" customHeight="1">
      <c r="B22" s="42" t="inlineStr">
        <is>
          <t>Output token cost</t>
        </is>
      </c>
      <c r="C22" s="46" t="inlineStr">
        <is>
          <t>3,500 tokens × $0.300/1M</t>
        </is>
      </c>
      <c r="D22" s="46">
        <f> 35M tokens</f>
        <v/>
      </c>
      <c r="E22" s="51" t="inlineStr">
        <is>
          <t>$10.50</t>
        </is>
      </c>
    </row>
    <row r="23" ht="20" customHeight="1">
      <c r="B23" s="52" t="inlineStr">
        <is>
          <t>TOTAL LLM COST</t>
        </is>
      </c>
      <c r="C23" s="48" t="inlineStr">
        <is>
          <t>$0.00210 / company</t>
        </is>
      </c>
      <c r="D23" s="48" t="inlineStr">
        <is>
          <t>10,000 co.</t>
        </is>
      </c>
      <c r="E23" s="53" t="inlineStr">
        <is>
          <t>$21.00</t>
        </is>
      </c>
    </row>
    <row r="25" ht="26" customHeight="1">
      <c r="B25" s="3" t="inlineStr">
        <is>
          <t xml:space="preserve">  RATE LIMITS &amp; THROUGHPUT NOTES</t>
        </is>
      </c>
    </row>
    <row r="26" ht="20" customHeight="1">
      <c r="B26" s="40" t="inlineStr">
        <is>
          <t>Gemini 2.0 Flash — paid RPM</t>
        </is>
      </c>
      <c r="C26" s="54" t="inlineStr">
        <is>
          <t>1,000 RPM</t>
        </is>
      </c>
      <c r="E26" s="7" t="inlineStr">
        <is>
          <t>Requests per minute on paid tier</t>
        </is>
      </c>
    </row>
    <row r="27" ht="20" customHeight="1">
      <c r="B27" s="42" t="inlineStr">
        <is>
          <t>Pipeline configured RPM</t>
        </is>
      </c>
      <c r="C27" s="55" t="inlineStr">
        <is>
          <t>~4 RPM (default)</t>
        </is>
      </c>
      <c r="E27" s="10" t="inlineStr">
        <is>
          <t>Set LLM_REQUESTS_PER_MINUTE env var</t>
        </is>
      </c>
    </row>
    <row r="28" ht="20" customHeight="1">
      <c r="B28" s="40" t="inlineStr">
        <is>
          <t>Recommended paid RPM setting</t>
        </is>
      </c>
      <c r="C28" s="54" t="inlineStr">
        <is>
          <t>60–120 RPM</t>
        </is>
      </c>
      <c r="E28" s="7" t="inlineStr">
        <is>
          <t>Safe for production pipeline</t>
        </is>
      </c>
    </row>
    <row r="29" ht="20" customHeight="1">
      <c r="B29" s="42" t="inlineStr">
        <is>
          <t>Time to process 10k co. @ 60 RPM</t>
        </is>
      </c>
      <c r="C29" s="55" t="inlineStr">
        <is>
          <t>~5.5 hours</t>
        </is>
      </c>
      <c r="E29" s="10" t="inlineStr">
        <is>
          <t>20k calls ÷ 60 RPM = 333 min</t>
        </is>
      </c>
    </row>
    <row r="30" ht="20" customHeight="1">
      <c r="B30" s="40" t="inlineStr">
        <is>
          <t>Max output tokens per response</t>
        </is>
      </c>
      <c r="C30" s="54" t="inlineStr">
        <is>
          <t>8,192 tokens</t>
        </is>
      </c>
      <c r="E30" s="7" t="inlineStr">
        <is>
          <t>Configured in gemini.js</t>
        </is>
      </c>
    </row>
    <row r="31" ht="20" customHeight="1">
      <c r="B31" s="42" t="inlineStr">
        <is>
          <t>Retry on 429 rate limit</t>
        </is>
      </c>
      <c r="C31" s="55" t="inlineStr">
        <is>
          <t>Yes (3 attempts)</t>
        </is>
      </c>
      <c r="E31" s="10" t="inlineStr">
        <is>
          <t>Exponential backoff up to 3 min</t>
        </is>
      </c>
    </row>
  </sheetData>
  <mergeCells count="5">
    <mergeCell ref="B3:G3"/>
    <mergeCell ref="B19:G19"/>
    <mergeCell ref="B14:G14"/>
    <mergeCell ref="B1:G1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6" customWidth="1" min="4" max="4"/>
    <col width="16" customWidth="1" min="5" max="5"/>
    <col width="22" customWidth="1" min="6" max="6"/>
    <col width="3" customWidth="1" min="7" max="7"/>
  </cols>
  <sheetData>
    <row r="1" ht="36" customHeight="1">
      <c r="B1" s="56" t="inlineStr">
        <is>
          <t>SEARCH API COST ANALYSIS</t>
        </is>
      </c>
    </row>
    <row r="3" ht="26" customHeight="1">
      <c r="B3" s="3" t="inlineStr">
        <is>
          <t xml:space="preserve">  SEARCH USAGE</t>
        </is>
      </c>
    </row>
    <row r="4" ht="20" customHeight="1">
      <c r="B4" s="40" t="inlineStr">
        <is>
          <t>Queries per company</t>
        </is>
      </c>
      <c r="C4" s="54" t="inlineStr">
        <is>
          <t>2</t>
        </is>
      </c>
      <c r="D4" s="57" t="inlineStr">
        <is>
          <t>1 leadership query + 1 assets query</t>
        </is>
      </c>
    </row>
    <row r="5" ht="20" customHeight="1">
      <c r="B5" s="42" t="inlineStr">
        <is>
          <t>Query 1 (Leadership)</t>
        </is>
      </c>
      <c r="C5" s="55" t="inlineStr">
        <is>
          <t>5 results</t>
        </is>
      </c>
      <c r="D5" s="58" t="inlineStr">
        <is>
          <t>[company] mining company leadership board executives management team</t>
        </is>
      </c>
    </row>
    <row r="6" ht="20" customHeight="1">
      <c r="B6" s="40" t="inlineStr">
        <is>
          <t>Query 2 (Assets)</t>
        </is>
      </c>
      <c r="C6" s="54" t="inlineStr">
        <is>
          <t>5 results</t>
        </is>
      </c>
      <c r="D6" s="57" t="inlineStr">
        <is>
          <t>[company] mining operations mines projects assets properties</t>
        </is>
      </c>
    </row>
    <row r="7" ht="20" customHeight="1">
      <c r="B7" s="42" t="inlineStr">
        <is>
          <t>Total monthly queries</t>
        </is>
      </c>
      <c r="C7" s="55" t="inlineStr">
        <is>
          <t>20,000</t>
        </is>
      </c>
      <c r="D7" s="58" t="inlineStr">
        <is>
          <t>2 × 10,000 companies</t>
        </is>
      </c>
    </row>
    <row r="8" ht="20" customHeight="1">
      <c r="B8" s="40" t="inlineStr">
        <is>
          <t>Results returned per query</t>
        </is>
      </c>
      <c r="C8" s="54" t="inlineStr">
        <is>
          <t>5 URLs</t>
        </is>
      </c>
      <c r="D8" s="57" t="inlineStr">
        <is>
          <t>searchResultsPerQuery = 5</t>
        </is>
      </c>
    </row>
    <row r="9" ht="20" customHeight="1">
      <c r="B9" s="42" t="inlineStr">
        <is>
          <t>URL relevance reordering</t>
        </is>
      </c>
      <c r="C9" s="55" t="inlineStr">
        <is>
          <t>Yes</t>
        </is>
      </c>
      <c r="D9" s="58" t="inlineStr">
        <is>
          <t>Hint-based scoring (board/mine/asset keywords)</t>
        </is>
      </c>
    </row>
    <row r="11" ht="26" customHeight="1">
      <c r="B11" s="3" t="inlineStr">
        <is>
          <t xml:space="preserve">  PROVIDER COMPARISON (for 20,000 queries / month)</t>
        </is>
      </c>
    </row>
    <row r="12" ht="20" customHeight="1">
      <c r="B12" s="4" t="inlineStr">
        <is>
          <t>Provider</t>
        </is>
      </c>
      <c r="C12" s="4" t="inlineStr">
        <is>
          <t>Plan</t>
        </is>
      </c>
      <c r="D12" s="4" t="inlineStr">
        <is>
          <t>Monthly Cost</t>
        </is>
      </c>
      <c r="E12" s="4" t="inlineStr">
        <is>
          <t>Effective Rate</t>
        </is>
      </c>
      <c r="F12" s="4" t="inlineStr">
        <is>
          <t>Notes</t>
        </is>
      </c>
    </row>
    <row r="13" ht="22" customHeight="1">
      <c r="B13" s="11" t="inlineStr">
        <is>
          <t>✅  Serper API (RECOMMENDED)</t>
        </is>
      </c>
      <c r="C13" s="48" t="inlineStr">
        <is>
          <t>Starter — 50k queries</t>
        </is>
      </c>
      <c r="D13" s="12" t="n">
        <v>50</v>
      </c>
      <c r="E13" s="48" t="inlineStr">
        <is>
          <t>$0.0025 / query</t>
        </is>
      </c>
      <c r="F13" s="59" t="inlineStr">
        <is>
          <t>google.serper.dev · Used in pipeline · 40% of plan capacity</t>
        </is>
      </c>
    </row>
    <row r="14" ht="22" customHeight="1">
      <c r="B14" s="5" t="inlineStr">
        <is>
          <t xml:space="preserve">   Brave Search API</t>
        </is>
      </c>
      <c r="C14" s="45" t="inlineStr">
        <is>
          <t>Base — $3/1k queries</t>
        </is>
      </c>
      <c r="D14" s="60" t="n">
        <v>60</v>
      </c>
      <c r="E14" s="45" t="inlineStr">
        <is>
          <t>$0.0030 / query</t>
        </is>
      </c>
      <c r="F14" s="57" t="inlineStr">
        <is>
          <t>Good quality, no plan needed</t>
        </is>
      </c>
    </row>
    <row r="15" ht="22" customHeight="1">
      <c r="B15" s="5" t="inlineStr">
        <is>
          <t xml:space="preserve">   SerpAPI</t>
        </is>
      </c>
      <c r="C15" s="45" t="inlineStr">
        <is>
          <t>Business — 30k queries</t>
        </is>
      </c>
      <c r="D15" s="60" t="n">
        <v>130</v>
      </c>
      <c r="E15" s="45" t="inlineStr">
        <is>
          <t>$0.0043 / query</t>
        </is>
      </c>
      <c r="F15" s="57" t="inlineStr">
        <is>
          <t>Feature-rich but more expensive</t>
        </is>
      </c>
    </row>
    <row r="16" ht="22" customHeight="1">
      <c r="B16" s="61" t="inlineStr">
        <is>
          <t xml:space="preserve">   DuckDuckGo (free fallback)</t>
        </is>
      </c>
      <c r="C16" s="62" t="inlineStr">
        <is>
          <t>Free — rate limited</t>
        </is>
      </c>
      <c r="D16" s="63" t="n">
        <v>0</v>
      </c>
      <c r="E16" s="62" t="inlineStr">
        <is>
          <t>$0.00 / query</t>
        </is>
      </c>
      <c r="F16" s="64" t="inlineStr">
        <is>
          <t>No pagination, rate limited, not for production</t>
        </is>
      </c>
    </row>
    <row r="17" ht="22" customHeight="1">
      <c r="B17" s="5" t="inlineStr">
        <is>
          <t xml:space="preserve">   ScaleSerp</t>
        </is>
      </c>
      <c r="C17" s="45" t="inlineStr">
        <is>
          <t>Starter — 25k queries</t>
        </is>
      </c>
      <c r="D17" s="60" t="n">
        <v>49</v>
      </c>
      <c r="E17" s="45" t="inlineStr">
        <is>
          <t>$0.0020 / query</t>
        </is>
      </c>
      <c r="F17" s="57" t="inlineStr">
        <is>
          <t>Cheapest per-query option at scale</t>
        </is>
      </c>
    </row>
    <row r="19" ht="26" customHeight="1">
      <c r="B19" s="3" t="inlineStr">
        <is>
          <t xml:space="preserve">  SERPER API — PLAN DETAILS (RECOMMENDED)</t>
        </is>
      </c>
    </row>
    <row r="20" ht="20" customHeight="1">
      <c r="B20" s="40" t="inlineStr">
        <is>
          <t>Serper Starter plan</t>
        </is>
      </c>
      <c r="C20" s="54" t="inlineStr">
        <is>
          <t>$50 / month</t>
        </is>
      </c>
      <c r="D20" s="7" t="inlineStr">
        <is>
          <t>50,000 queries</t>
        </is>
      </c>
    </row>
    <row r="21" ht="20" customHeight="1">
      <c r="B21" s="42" t="inlineStr">
        <is>
          <t>Queries used</t>
        </is>
      </c>
      <c r="C21" s="55" t="inlineStr">
        <is>
          <t>20,000</t>
        </is>
      </c>
      <c r="D21" s="10" t="inlineStr">
        <is>
          <t>40% of plan — headroom for retries</t>
        </is>
      </c>
    </row>
    <row r="22" ht="20" customHeight="1">
      <c r="B22" s="40" t="inlineStr">
        <is>
          <t>Effective cost</t>
        </is>
      </c>
      <c r="C22" s="54" t="inlineStr">
        <is>
          <t>$50.00</t>
        </is>
      </c>
      <c r="D22" s="7" t="inlineStr">
        <is>
          <t>Plan minimum — not per-query billing at this tier</t>
        </is>
      </c>
    </row>
    <row r="23" ht="20" customHeight="1">
      <c r="B23" s="42" t="inlineStr">
        <is>
          <t>Cost per query</t>
        </is>
      </c>
      <c r="C23" s="55" t="inlineStr">
        <is>
          <t>$0.0025</t>
        </is>
      </c>
      <c r="D23" s="10" t="inlineStr">
        <is>
          <t>Based on plan price / queries used</t>
        </is>
      </c>
    </row>
    <row r="24" ht="20" customHeight="1">
      <c r="B24" s="40" t="inlineStr">
        <is>
          <t>Overage protection</t>
        </is>
      </c>
      <c r="C24" s="54" t="inlineStr">
        <is>
          <t>Cap at 50k</t>
        </is>
      </c>
      <c r="D24" s="7" t="inlineStr">
        <is>
          <t>No surprise bills — hard cap on Starter plan</t>
        </is>
      </c>
    </row>
  </sheetData>
  <mergeCells count="21">
    <mergeCell ref="F16:G16"/>
    <mergeCell ref="B1:G1"/>
    <mergeCell ref="D7:F7"/>
    <mergeCell ref="B19:G19"/>
    <mergeCell ref="F12:G12"/>
    <mergeCell ref="F15:G15"/>
    <mergeCell ref="D4:F4"/>
    <mergeCell ref="D9:F9"/>
    <mergeCell ref="D8:F8"/>
    <mergeCell ref="F17:G17"/>
    <mergeCell ref="D24:F24"/>
    <mergeCell ref="D5:F5"/>
    <mergeCell ref="D23:F23"/>
    <mergeCell ref="F13:G13"/>
    <mergeCell ref="D20:F20"/>
    <mergeCell ref="B3:G3"/>
    <mergeCell ref="D22:F22"/>
    <mergeCell ref="F14:G14"/>
    <mergeCell ref="D21:F21"/>
    <mergeCell ref="D6:F6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6" customWidth="1" min="4" max="4"/>
    <col width="16" customWidth="1" min="5" max="5"/>
    <col width="22" customWidth="1" min="6" max="6"/>
    <col width="3" customWidth="1" min="7" max="7"/>
  </cols>
  <sheetData>
    <row r="1" ht="36" customHeight="1">
      <c r="B1" s="65" t="inlineStr">
        <is>
          <t>WEB CRAWL COST ANALYSIS — JINA AI READER</t>
        </is>
      </c>
    </row>
    <row r="3" ht="26" customHeight="1">
      <c r="B3" s="3" t="inlineStr">
        <is>
          <t xml:space="preserve">  CRAWL USAGE PER COMPANY</t>
        </is>
      </c>
    </row>
    <row r="4" ht="20" customHeight="1">
      <c r="B4" s="5" t="inlineStr">
        <is>
          <t>Max URLs per topic</t>
        </is>
      </c>
      <c r="C4" s="66" t="inlineStr">
        <is>
          <t>3</t>
        </is>
      </c>
      <c r="D4" s="57" t="inlineStr">
        <is>
          <t>MAX_URLS_TO_CRAWL = 3 (config)</t>
        </is>
      </c>
    </row>
    <row r="5" ht="20" customHeight="1">
      <c r="B5" s="8" t="inlineStr">
        <is>
          <t>Topics per company</t>
        </is>
      </c>
      <c r="C5" s="67" t="inlineStr">
        <is>
          <t>2</t>
        </is>
      </c>
      <c r="D5" s="58" t="inlineStr">
        <is>
          <t>Leadership + Assets</t>
        </is>
      </c>
    </row>
    <row r="6" ht="20" customHeight="1">
      <c r="B6" s="5" t="inlineStr">
        <is>
          <t>Total URLs crawled per company</t>
        </is>
      </c>
      <c r="C6" s="66" t="inlineStr">
        <is>
          <t>6</t>
        </is>
      </c>
      <c r="D6" s="57" t="inlineStr">
        <is>
          <t>3 leadership + 3 assets (worst case)</t>
        </is>
      </c>
    </row>
    <row r="7" ht="20" customHeight="1">
      <c r="B7" s="8" t="inlineStr">
        <is>
          <t>Max chars per URL</t>
        </is>
      </c>
      <c r="C7" s="67" t="inlineStr">
        <is>
          <t>25,000</t>
        </is>
      </c>
      <c r="D7" s="58" t="inlineStr">
        <is>
          <t>maxCrawlContentLengthPerUrl = 20,000 (config, using 25k higher estimate)</t>
        </is>
      </c>
    </row>
    <row r="8" ht="20" customHeight="1">
      <c r="B8" s="5" t="inlineStr">
        <is>
          <t>Max merged chars per topic</t>
        </is>
      </c>
      <c r="C8" s="66" t="inlineStr">
        <is>
          <t>30,000</t>
        </is>
      </c>
      <c r="D8" s="57" t="inlineStr">
        <is>
          <t>maxCrawlContentLength = 30,000 (config)</t>
        </is>
      </c>
    </row>
    <row r="9" ht="20" customHeight="1">
      <c r="B9" s="8" t="inlineStr">
        <is>
          <t>Crawl method</t>
        </is>
      </c>
      <c r="C9" s="67" t="inlineStr">
        <is>
          <t>r.jina.ai/</t>
        </is>
      </c>
      <c r="D9" s="58" t="inlineStr">
        <is>
          <t>Prepend URL to convert to clean Markdown</t>
        </is>
      </c>
    </row>
    <row r="10" ht="20" customHeight="1">
      <c r="B10" s="5" t="inlineStr">
        <is>
          <t>Response format</t>
        </is>
      </c>
      <c r="C10" s="66" t="inlineStr">
        <is>
          <t>JSON</t>
        </is>
      </c>
      <c r="D10" s="57" t="inlineStr">
        <is>
          <t>Returns { content: markdown, title: string }</t>
        </is>
      </c>
    </row>
    <row r="11" ht="20" customHeight="1">
      <c r="B11" s="8" t="inlineStr">
        <is>
          <t>Total monthly URL requests</t>
        </is>
      </c>
      <c r="C11" s="67" t="inlineStr">
        <is>
          <t>60,000</t>
        </is>
      </c>
      <c r="D11" s="58" t="inlineStr">
        <is>
          <t>6 × 10,000 companies</t>
        </is>
      </c>
    </row>
    <row r="13" ht="26" customHeight="1">
      <c r="B13" s="3" t="inlineStr">
        <is>
          <t xml:space="preserve">  PROVIDER COMPARISON (60,000 requests / month)</t>
        </is>
      </c>
    </row>
    <row r="14" ht="20" customHeight="1">
      <c r="B14" s="4" t="inlineStr">
        <is>
          <t>Provider</t>
        </is>
      </c>
      <c r="C14" s="4" t="inlineStr">
        <is>
          <t>Plan / Tier</t>
        </is>
      </c>
      <c r="D14" s="4" t="inlineStr">
        <is>
          <t>Monthly Cost</t>
        </is>
      </c>
      <c r="E14" s="4" t="inlineStr">
        <is>
          <t>Per Request</t>
        </is>
      </c>
      <c r="F14" s="4" t="inlineStr">
        <is>
          <t>Notes</t>
        </is>
      </c>
    </row>
    <row r="15" ht="22" customHeight="1">
      <c r="B15" s="11" t="inlineStr">
        <is>
          <t>✅  Jina AI Reader (CURRENT)</t>
        </is>
      </c>
      <c r="C15" s="48" t="inlineStr">
        <is>
          <t>Paid tier — API key</t>
        </is>
      </c>
      <c r="D15" s="12" t="n">
        <v>60</v>
      </c>
      <c r="E15" s="48" t="inlineStr">
        <is>
          <t>~$0.0010</t>
        </is>
      </c>
      <c r="F15" s="59" t="inlineStr">
        <is>
          <t>r.jina.ai · Clean Markdown output · No JS rendering</t>
        </is>
      </c>
    </row>
    <row r="16" ht="22" customHeight="1">
      <c r="B16" s="5" t="inlineStr">
        <is>
          <t xml:space="preserve">   Firecrawl</t>
        </is>
      </c>
      <c r="C16" s="45" t="inlineStr">
        <is>
          <t>Professional — 100k pg</t>
        </is>
      </c>
      <c r="D16" s="60" t="n">
        <v>99</v>
      </c>
      <c r="E16" s="45" t="inlineStr">
        <is>
          <t>$0.00099</t>
        </is>
      </c>
      <c r="F16" s="57" t="inlineStr">
        <is>
          <t>JS rendering · Structured extraction · Better for SPAs</t>
        </is>
      </c>
    </row>
    <row r="17" ht="22" customHeight="1">
      <c r="B17" s="5" t="inlineStr">
        <is>
          <t xml:space="preserve">   ScrapingBee</t>
        </is>
      </c>
      <c r="C17" s="45" t="inlineStr">
        <is>
          <t>Startup — 75k credits</t>
        </is>
      </c>
      <c r="D17" s="60" t="n">
        <v>99</v>
      </c>
      <c r="E17" s="45" t="inlineStr">
        <is>
          <t>$0.00132</t>
        </is>
      </c>
      <c r="F17" s="57" t="inlineStr">
        <is>
          <t>Premium JS rendering · Anti-bot bypass</t>
        </is>
      </c>
    </row>
    <row r="18" ht="22" customHeight="1">
      <c r="B18" s="5" t="inlineStr">
        <is>
          <t xml:space="preserve">   Apify Web Scraper</t>
        </is>
      </c>
      <c r="C18" s="45" t="inlineStr">
        <is>
          <t>Starter — pay per use</t>
        </is>
      </c>
      <c r="D18" s="60" t="n">
        <v>60</v>
      </c>
      <c r="E18" s="45" t="inlineStr">
        <is>
          <t>~$0.0010</t>
        </is>
      </c>
      <c r="F18" s="57" t="inlineStr">
        <is>
          <t>Actor-based · Flexible but complex setup</t>
        </is>
      </c>
    </row>
    <row r="19" ht="22" customHeight="1">
      <c r="B19" s="61" t="inlineStr">
        <is>
          <t xml:space="preserve">   BrightData</t>
        </is>
      </c>
      <c r="C19" s="62" t="inlineStr">
        <is>
          <t>Pay-as-you-go</t>
        </is>
      </c>
      <c r="D19" s="63" t="n">
        <v>300</v>
      </c>
      <c r="E19" s="62" t="inlineStr">
        <is>
          <t>~$0.0050</t>
        </is>
      </c>
      <c r="F19" s="64" t="inlineStr">
        <is>
          <t>Enterprise residential proxies — overkill here</t>
        </is>
      </c>
    </row>
    <row r="21" ht="26" customHeight="1">
      <c r="B21" s="3" t="inlineStr">
        <is>
          <t xml:space="preserve">  JINA AI READER — TECHNICAL NOTES</t>
        </is>
      </c>
    </row>
    <row r="22" ht="20" customHeight="1">
      <c r="B22" s="40" t="inlineStr">
        <is>
          <t>Endpoint</t>
        </is>
      </c>
      <c r="C22" s="66" t="inlineStr">
        <is>
          <t>GET r.jina.ai/{url}</t>
        </is>
      </c>
      <c r="D22" s="7" t="inlineStr">
        <is>
          <t>No POST body needed</t>
        </is>
      </c>
    </row>
    <row r="23" ht="20" customHeight="1">
      <c r="B23" s="42" t="inlineStr">
        <is>
          <t>Auth header</t>
        </is>
      </c>
      <c r="C23" s="67" t="inlineStr">
        <is>
          <t>Authorization: Bearer</t>
        </is>
      </c>
      <c r="D23" s="10" t="inlineStr">
        <is>
          <t>API key required for paid tier</t>
        </is>
      </c>
    </row>
    <row r="24" ht="20" customHeight="1">
      <c r="B24" s="40" t="inlineStr">
        <is>
          <t>Rate limit (paid)</t>
        </is>
      </c>
      <c r="C24" s="66" t="inlineStr">
        <is>
          <t>~200 RPM</t>
        </is>
      </c>
      <c r="D24" s="7" t="inlineStr">
        <is>
          <t>Much higher than free tier</t>
        </is>
      </c>
    </row>
    <row r="25" ht="20" customHeight="1">
      <c r="B25" s="42" t="inlineStr">
        <is>
          <t>JS rendering</t>
        </is>
      </c>
      <c r="C25" s="67" t="inlineStr">
        <is>
          <t>Limited</t>
        </is>
      </c>
      <c r="D25" s="10" t="inlineStr">
        <is>
          <t>May miss SPAs; Firecrawl better for JS-heavy sites</t>
        </is>
      </c>
    </row>
    <row r="26" ht="20" customHeight="1">
      <c r="B26" s="40" t="inlineStr">
        <is>
          <t>Output quality</t>
        </is>
      </c>
      <c r="C26" s="66" t="inlineStr">
        <is>
          <t>High</t>
        </is>
      </c>
      <c r="D26" s="7" t="inlineStr">
        <is>
          <t>Clean Markdown ideal for LLM extraction</t>
        </is>
      </c>
    </row>
    <row r="27" ht="20" customHeight="1">
      <c r="B27" s="42" t="inlineStr">
        <is>
          <t>Timeout</t>
        </is>
      </c>
      <c r="C27" s="67" t="inlineStr">
        <is>
          <t>30 seconds</t>
        </is>
      </c>
      <c r="D27" s="10" t="inlineStr">
        <is>
          <t>requestTimeoutMs = 30,000</t>
        </is>
      </c>
    </row>
    <row r="28" ht="20" customHeight="1">
      <c r="B28" s="40" t="inlineStr">
        <is>
          <t>Retry on failure</t>
        </is>
      </c>
      <c r="C28" s="66" t="inlineStr">
        <is>
          <t>Silent skip</t>
        </is>
      </c>
      <c r="D28" s="7" t="inlineStr">
        <is>
          <t>crawlMultipleUrls() catches errors and continues</t>
        </is>
      </c>
    </row>
    <row r="29" ht="20" customHeight="1">
      <c r="B29" s="42" t="inlineStr">
        <is>
          <t>Minimum content threshold</t>
        </is>
      </c>
      <c r="C29" s="67" t="inlineStr">
        <is>
          <t>100 chars</t>
        </is>
      </c>
      <c r="D29" s="10" t="inlineStr">
        <is>
          <t>MIN_CONTENT_LEN = 100; short pages skipped</t>
        </is>
      </c>
    </row>
  </sheetData>
  <mergeCells count="26">
    <mergeCell ref="D11:F11"/>
    <mergeCell ref="D27:F27"/>
    <mergeCell ref="F16:G16"/>
    <mergeCell ref="F19:G19"/>
    <mergeCell ref="B1:G1"/>
    <mergeCell ref="B13:G13"/>
    <mergeCell ref="D7:F7"/>
    <mergeCell ref="D28:F28"/>
    <mergeCell ref="F15:G15"/>
    <mergeCell ref="D4:F4"/>
    <mergeCell ref="F18:G18"/>
    <mergeCell ref="D9:F9"/>
    <mergeCell ref="D8:F8"/>
    <mergeCell ref="D25:F25"/>
    <mergeCell ref="F17:G17"/>
    <mergeCell ref="D24:F24"/>
    <mergeCell ref="D29:F29"/>
    <mergeCell ref="D5:F5"/>
    <mergeCell ref="D23:F23"/>
    <mergeCell ref="D26:F26"/>
    <mergeCell ref="D10:F10"/>
    <mergeCell ref="B3:G3"/>
    <mergeCell ref="D22:F22"/>
    <mergeCell ref="F14:G14"/>
    <mergeCell ref="B21:G21"/>
    <mergeCell ref="D6:F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6" customWidth="1" min="4" max="4"/>
    <col width="16" customWidth="1" min="5" max="5"/>
    <col width="20" customWidth="1" min="6" max="6"/>
    <col width="3" customWidth="1" min="7" max="7"/>
  </cols>
  <sheetData>
    <row r="1" ht="36" customHeight="1">
      <c r="B1" s="68" t="inlineStr">
        <is>
          <t>INFRASTRUCTURE COST ANALYSIS — PRODUCTION</t>
        </is>
      </c>
    </row>
    <row r="3" ht="26" customHeight="1">
      <c r="B3" s="3" t="inlineStr">
        <is>
          <t xml:space="preserve">  COMPONENTS</t>
        </is>
      </c>
    </row>
    <row r="4" ht="20" customHeight="1">
      <c r="B4" s="4" t="inlineStr">
        <is>
          <t>Component</t>
        </is>
      </c>
      <c r="C4" s="4" t="inlineStr">
        <is>
          <t>Provider / Plan</t>
        </is>
      </c>
      <c r="D4" s="4" t="inlineStr">
        <is>
          <t>Monthly</t>
        </is>
      </c>
      <c r="E4" s="4" t="inlineStr">
        <is>
          <t>Annual</t>
        </is>
      </c>
      <c r="F4" s="4" t="inlineStr">
        <is>
          <t>Purpose / Notes</t>
        </is>
      </c>
    </row>
    <row r="5" ht="22" customHeight="1">
      <c r="B5" s="5" t="inlineStr">
        <is>
          <t>Backend API Server</t>
        </is>
      </c>
      <c r="C5" s="40" t="inlineStr">
        <is>
          <t>DigitalOcean — Basic 2vCPU/4GB</t>
        </is>
      </c>
      <c r="D5" s="69" t="n">
        <v>24</v>
      </c>
      <c r="E5" s="70" t="n">
        <v>288</v>
      </c>
      <c r="F5" s="57" t="inlineStr">
        <is>
          <t>Node.js/Express pipeline + REST API</t>
        </is>
      </c>
    </row>
    <row r="6" ht="22" customHeight="1">
      <c r="B6" s="8" t="inlineStr">
        <is>
          <t>Database (PostgreSQL)</t>
        </is>
      </c>
      <c r="C6" s="42" t="inlineStr">
        <is>
          <t>Supabase Pro</t>
        </is>
      </c>
      <c r="D6" s="71" t="n">
        <v>25</v>
      </c>
      <c r="E6" s="72" t="n">
        <v>300</v>
      </c>
      <c r="F6" s="58" t="inlineStr">
        <is>
          <t>8GB DB, 250GB bandwidth, realtime</t>
        </is>
      </c>
    </row>
    <row r="7" ht="22" customHeight="1">
      <c r="B7" s="5" t="inlineStr">
        <is>
          <t>Frontend Hosting</t>
        </is>
      </c>
      <c r="C7" s="40" t="inlineStr">
        <is>
          <t>Vercel Pro</t>
        </is>
      </c>
      <c r="D7" s="69" t="n">
        <v>20</v>
      </c>
      <c r="E7" s="70" t="n">
        <v>240</v>
      </c>
      <c r="F7" s="57" t="inlineStr">
        <is>
          <t>React dashboard, CDN, preview deploys</t>
        </is>
      </c>
    </row>
    <row r="8" ht="22" customHeight="1">
      <c r="B8" s="8" t="inlineStr">
        <is>
          <t>Redis (rate limiter)</t>
        </is>
      </c>
      <c r="C8" s="42" t="inlineStr">
        <is>
          <t>Upstash Redis — Pay-as-you-go</t>
        </is>
      </c>
      <c r="D8" s="71" t="n">
        <v>5</v>
      </c>
      <c r="E8" s="72" t="n">
        <v>60</v>
      </c>
      <c r="F8" s="58" t="inlineStr">
        <is>
          <t>LLM rate limiting (optional but recommended)</t>
        </is>
      </c>
    </row>
    <row r="9" ht="22" customHeight="1">
      <c r="B9" s="5" t="inlineStr">
        <is>
          <t>Monitoring / Alerts</t>
        </is>
      </c>
      <c r="C9" s="40" t="inlineStr">
        <is>
          <t>Better Uptime Starter</t>
        </is>
      </c>
      <c r="D9" s="69" t="n">
        <v>7</v>
      </c>
      <c r="E9" s="70" t="n">
        <v>84</v>
      </c>
      <c r="F9" s="57" t="inlineStr">
        <is>
          <t>Uptime checks, incident alerts</t>
        </is>
      </c>
    </row>
    <row r="10" ht="22" customHeight="1">
      <c r="B10" s="8" t="inlineStr">
        <is>
          <t>Domain + SSL</t>
        </is>
      </c>
      <c r="C10" s="42" t="inlineStr">
        <is>
          <t>Cloudflare + Namecheap</t>
        </is>
      </c>
      <c r="D10" s="71" t="n">
        <v>2</v>
      </c>
      <c r="E10" s="72" t="n">
        <v>24</v>
      </c>
      <c r="F10" s="58" t="inlineStr">
        <is>
          <t>1 domain + free SSL via Cloudflare</t>
        </is>
      </c>
    </row>
    <row r="11" ht="22" customHeight="1">
      <c r="B11" s="5" t="inlineStr">
        <is>
          <t>Log management</t>
        </is>
      </c>
      <c r="C11" s="40" t="inlineStr">
        <is>
          <t>Logtail / Betterstack Starter</t>
        </is>
      </c>
      <c r="D11" s="69" t="n">
        <v>0</v>
      </c>
      <c r="E11" s="70" t="n">
        <v>0</v>
      </c>
      <c r="F11" s="57" t="inlineStr">
        <is>
          <t>Free tier sufficient for 10k/month</t>
        </is>
      </c>
    </row>
    <row r="12" ht="26" customHeight="1">
      <c r="B12" s="73" t="inlineStr">
        <is>
          <t>INFRASTRUCTURE TOTAL</t>
        </is>
      </c>
      <c r="D12" s="74" t="n">
        <v>83</v>
      </c>
      <c r="E12" s="74" t="n">
        <v>996</v>
      </c>
      <c r="F12" s="75" t="inlineStr"/>
    </row>
    <row r="14" ht="26" customHeight="1">
      <c r="B14" s="3" t="inlineStr">
        <is>
          <t xml:space="preserve">  PROCESSING THROUGHPUT ANALYSIS</t>
        </is>
      </c>
    </row>
    <row r="15" ht="20" customHeight="1">
      <c r="B15" s="5" t="inlineStr">
        <is>
          <t>Time per company (sequential)</t>
        </is>
      </c>
      <c r="C15" s="76" t="inlineStr">
        <is>
          <t>~40 seconds</t>
        </is>
      </c>
      <c r="D15" s="57" t="inlineStr">
        <is>
          <t>2 searches + 6 crawls + 2 LLM calls + DB write</t>
        </is>
      </c>
    </row>
    <row r="16" ht="20" customHeight="1">
      <c r="B16" s="8" t="inlineStr">
        <is>
          <t>Concurrent workers (default)</t>
        </is>
      </c>
      <c r="C16" s="77" t="inlineStr">
        <is>
          <t>2 workers</t>
        </is>
      </c>
      <c r="D16" s="58" t="inlineStr">
        <is>
          <t>CONCURRENT_COMPANIES=2 in .env</t>
        </is>
      </c>
    </row>
    <row r="17" ht="20" customHeight="1">
      <c r="B17" s="5" t="inlineStr">
        <is>
          <t>Recommended workers (production)</t>
        </is>
      </c>
      <c r="C17" s="76" t="inlineStr">
        <is>
          <t>10 workers</t>
        </is>
      </c>
      <c r="D17" s="57" t="inlineStr">
        <is>
          <t>CONCURRENT_COMPANIES=10 for 10k batch</t>
        </is>
      </c>
    </row>
    <row r="18" ht="20" customHeight="1">
      <c r="B18" s="8" t="inlineStr">
        <is>
          <t>Time to process 10k (10 workers)</t>
        </is>
      </c>
      <c r="C18" s="77" t="inlineStr">
        <is>
          <t>~11 hours</t>
        </is>
      </c>
      <c r="D18" s="58" t="inlineStr">
        <is>
          <t>10,000 × 40s ÷ 10 = 40,000s ≈ 11.1h</t>
        </is>
      </c>
    </row>
    <row r="19" ht="20" customHeight="1">
      <c r="B19" s="5" t="inlineStr">
        <is>
          <t>Time to process 10k (20 workers)</t>
        </is>
      </c>
      <c r="C19" s="76" t="inlineStr">
        <is>
          <t>~5.5 hours</t>
        </is>
      </c>
      <c r="D19" s="57" t="inlineStr">
        <is>
          <t>Upgrade to 4vCPU server for 20+ workers</t>
        </is>
      </c>
    </row>
    <row r="20" ht="20" customHeight="1">
      <c r="B20" s="8" t="inlineStr">
        <is>
          <t>Database connections needed</t>
        </is>
      </c>
      <c r="C20" s="77" t="inlineStr">
        <is>
          <t>10–20</t>
        </is>
      </c>
      <c r="D20" s="58" t="inlineStr">
        <is>
          <t>Matches concurrent worker count</t>
        </is>
      </c>
    </row>
    <row r="21" ht="20" customHeight="1">
      <c r="B21" s="5" t="inlineStr">
        <is>
          <t>Memory per worker (approx)</t>
        </is>
      </c>
      <c r="C21" s="76" t="inlineStr">
        <is>
          <t>~50 MB</t>
        </is>
      </c>
      <c r="D21" s="57" t="inlineStr">
        <is>
          <t>Node.js process overhead per concurrent task</t>
        </is>
      </c>
    </row>
    <row r="22" ht="20" customHeight="1">
      <c r="B22" s="8" t="inlineStr">
        <is>
          <t>Recommended server for 10 workers</t>
        </is>
      </c>
      <c r="C22" s="77" t="inlineStr">
        <is>
          <t>2vCPU / 4GB</t>
        </is>
      </c>
      <c r="D22" s="58" t="inlineStr">
        <is>
          <t>DigitalOcean Basic Droplet — $24/mo</t>
        </is>
      </c>
    </row>
    <row r="23" ht="20" customHeight="1">
      <c r="B23" s="5" t="inlineStr">
        <is>
          <t>Recommended server for 20 workers</t>
        </is>
      </c>
      <c r="C23" s="76" t="inlineStr">
        <is>
          <t>4vCPU / 8GB</t>
        </is>
      </c>
      <c r="D23" s="57" t="inlineStr">
        <is>
          <t>DigitalOcean General Purpose — $48/mo</t>
        </is>
      </c>
    </row>
  </sheetData>
  <mergeCells count="21">
    <mergeCell ref="F4:G4"/>
    <mergeCell ref="F11:G11"/>
    <mergeCell ref="F10:G10"/>
    <mergeCell ref="B14:G14"/>
    <mergeCell ref="B1:G1"/>
    <mergeCell ref="F6:G6"/>
    <mergeCell ref="D17:F17"/>
    <mergeCell ref="D16:F16"/>
    <mergeCell ref="F7:G7"/>
    <mergeCell ref="F12:G12"/>
    <mergeCell ref="F5:G5"/>
    <mergeCell ref="D18:F18"/>
    <mergeCell ref="D15:F15"/>
    <mergeCell ref="F8:G8"/>
    <mergeCell ref="D23:F23"/>
    <mergeCell ref="D20:F20"/>
    <mergeCell ref="F9:G9"/>
    <mergeCell ref="B3:G3"/>
    <mergeCell ref="D19:F19"/>
    <mergeCell ref="D22:F22"/>
    <mergeCell ref="D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B1" s="78" t="inlineStr">
        <is>
          <t>COST SCALING ANALYSIS — VOLUME VS COST</t>
        </is>
      </c>
    </row>
    <row r="3" ht="26" customHeight="1">
      <c r="B3" s="3" t="inlineStr">
        <is>
          <t xml:space="preserve">  COST AT DIFFERENT VOLUMES (monthly)</t>
        </is>
      </c>
    </row>
    <row r="4" ht="22" customHeight="1">
      <c r="B4" s="4" t="inlineStr">
        <is>
          <t>Companies/mo</t>
        </is>
      </c>
      <c r="C4" s="4" t="inlineStr">
        <is>
          <t>LLM Cost</t>
        </is>
      </c>
      <c r="D4" s="4" t="inlineStr">
        <is>
          <t>Search API</t>
        </is>
      </c>
      <c r="E4" s="4" t="inlineStr">
        <is>
          <t>Crawl API</t>
        </is>
      </c>
      <c r="F4" s="4" t="inlineStr">
        <is>
          <t>Infrastructure</t>
        </is>
      </c>
      <c r="G4" s="4" t="inlineStr">
        <is>
          <t>Misc</t>
        </is>
      </c>
      <c r="H4" s="4" t="inlineStr">
        <is>
          <t>TOTAL</t>
        </is>
      </c>
      <c r="I4" s="4" t="inlineStr">
        <is>
          <t>Per Company</t>
        </is>
      </c>
    </row>
    <row r="5" ht="22" customHeight="1">
      <c r="B5" s="79" t="inlineStr">
        <is>
          <t>500</t>
        </is>
      </c>
      <c r="C5" s="70" t="n">
        <v>1.05</v>
      </c>
      <c r="D5" s="70" t="n">
        <v>50</v>
      </c>
      <c r="E5" s="70" t="n">
        <v>3</v>
      </c>
      <c r="F5" s="70" t="n">
        <v>60</v>
      </c>
      <c r="G5" s="70" t="n">
        <v>10</v>
      </c>
      <c r="H5" s="70" t="n">
        <v>124.05</v>
      </c>
      <c r="I5" s="80" t="n">
        <v>0.2481</v>
      </c>
    </row>
    <row r="6" ht="22" customHeight="1">
      <c r="B6" s="81" t="inlineStr">
        <is>
          <t>1,000</t>
        </is>
      </c>
      <c r="C6" s="72" t="n">
        <v>2.1</v>
      </c>
      <c r="D6" s="72" t="n">
        <v>50</v>
      </c>
      <c r="E6" s="72" t="n">
        <v>6</v>
      </c>
      <c r="F6" s="72" t="n">
        <v>60</v>
      </c>
      <c r="G6" s="72" t="n">
        <v>10</v>
      </c>
      <c r="H6" s="72" t="n">
        <v>128.1</v>
      </c>
      <c r="I6" s="82" t="n">
        <v>0.1281</v>
      </c>
    </row>
    <row r="7" ht="22" customHeight="1">
      <c r="B7" s="79" t="inlineStr">
        <is>
          <t>2,500</t>
        </is>
      </c>
      <c r="C7" s="70" t="n">
        <v>5.25</v>
      </c>
      <c r="D7" s="70" t="n">
        <v>50</v>
      </c>
      <c r="E7" s="70" t="n">
        <v>15</v>
      </c>
      <c r="F7" s="70" t="n">
        <v>79</v>
      </c>
      <c r="G7" s="70" t="n">
        <v>10</v>
      </c>
      <c r="H7" s="70" t="n">
        <v>159.25</v>
      </c>
      <c r="I7" s="80" t="n">
        <v>0.06370000000000001</v>
      </c>
    </row>
    <row r="8" ht="22" customHeight="1">
      <c r="B8" s="81" t="inlineStr">
        <is>
          <t>5,000</t>
        </is>
      </c>
      <c r="C8" s="72" t="n">
        <v>10.5</v>
      </c>
      <c r="D8" s="72" t="n">
        <v>50</v>
      </c>
      <c r="E8" s="72" t="n">
        <v>30</v>
      </c>
      <c r="F8" s="72" t="n">
        <v>79</v>
      </c>
      <c r="G8" s="72" t="n">
        <v>10</v>
      </c>
      <c r="H8" s="72" t="n">
        <v>179.5</v>
      </c>
      <c r="I8" s="82" t="n">
        <v>0.0359</v>
      </c>
    </row>
    <row r="9" ht="22" customHeight="1">
      <c r="B9" s="83" t="inlineStr">
        <is>
          <t>10,000</t>
        </is>
      </c>
      <c r="C9" s="84" t="n">
        <v>21</v>
      </c>
      <c r="D9" s="84" t="n">
        <v>50</v>
      </c>
      <c r="E9" s="84" t="n">
        <v>60</v>
      </c>
      <c r="F9" s="84" t="n">
        <v>79</v>
      </c>
      <c r="G9" s="84" t="n">
        <v>10</v>
      </c>
      <c r="H9" s="84" t="n">
        <v>220</v>
      </c>
      <c r="I9" s="85" t="n">
        <v>0.022</v>
      </c>
    </row>
    <row r="10" ht="22" customHeight="1">
      <c r="B10" s="81" t="inlineStr">
        <is>
          <t>25,000</t>
        </is>
      </c>
      <c r="C10" s="72" t="n">
        <v>52.5</v>
      </c>
      <c r="D10" s="72" t="n">
        <v>62.5</v>
      </c>
      <c r="E10" s="72" t="n">
        <v>150</v>
      </c>
      <c r="F10" s="72" t="n">
        <v>120</v>
      </c>
      <c r="G10" s="72" t="n">
        <v>10</v>
      </c>
      <c r="H10" s="72" t="n">
        <v>395</v>
      </c>
      <c r="I10" s="82" t="n">
        <v>0.0158</v>
      </c>
    </row>
    <row r="11" ht="22" customHeight="1">
      <c r="B11" s="79" t="inlineStr">
        <is>
          <t>50,000</t>
        </is>
      </c>
      <c r="C11" s="70" t="n">
        <v>105</v>
      </c>
      <c r="D11" s="70" t="n">
        <v>125</v>
      </c>
      <c r="E11" s="70" t="n">
        <v>300</v>
      </c>
      <c r="F11" s="70" t="n">
        <v>120</v>
      </c>
      <c r="G11" s="70" t="n">
        <v>10</v>
      </c>
      <c r="H11" s="70" t="n">
        <v>660</v>
      </c>
      <c r="I11" s="80" t="n">
        <v>0.0132</v>
      </c>
    </row>
    <row r="12" ht="22" customHeight="1">
      <c r="B12" s="81" t="inlineStr">
        <is>
          <t>100,000</t>
        </is>
      </c>
      <c r="C12" s="72" t="n">
        <v>210</v>
      </c>
      <c r="D12" s="72" t="n">
        <v>250</v>
      </c>
      <c r="E12" s="72" t="n">
        <v>600</v>
      </c>
      <c r="F12" s="72" t="n">
        <v>200</v>
      </c>
      <c r="G12" s="72" t="n">
        <v>10</v>
      </c>
      <c r="H12" s="72" t="n">
        <v>1270</v>
      </c>
      <c r="I12" s="82" t="n">
        <v>0.0127</v>
      </c>
    </row>
    <row r="14">
      <c r="B14" s="86" t="inlineStr">
        <is>
          <t>★ Current target (10,000/mo) highlighted in amber — $220/mo total, $0.022/company</t>
        </is>
      </c>
    </row>
    <row r="16" ht="26" customHeight="1">
      <c r="B16" s="3" t="inlineStr">
        <is>
          <t xml:space="preserve">  COST DRIVER BREAKDOWN (% of total at 10,000/mo)</t>
        </is>
      </c>
    </row>
    <row r="17" ht="20" customHeight="1">
      <c r="B17" s="5" t="inlineStr">
        <is>
          <t>Search API (Serper)</t>
        </is>
      </c>
      <c r="C17" s="87" t="n">
        <v>50</v>
      </c>
      <c r="D17" s="88" t="n">
        <v>0.227</v>
      </c>
      <c r="E17" s="57" t="inlineStr">
        <is>
          <t>Largest fixed cost — plan-based, not per-query</t>
        </is>
      </c>
    </row>
    <row r="18" ht="20" customHeight="1">
      <c r="B18" s="8" t="inlineStr">
        <is>
          <t>Web Crawl (Jina AI)</t>
        </is>
      </c>
      <c r="C18" s="89" t="n">
        <v>60</v>
      </c>
      <c r="D18" s="90" t="n">
        <v>0.273</v>
      </c>
      <c r="E18" s="58" t="inlineStr">
        <is>
          <t>Scales linearly with volume</t>
        </is>
      </c>
    </row>
    <row r="19" ht="20" customHeight="1">
      <c r="B19" s="5" t="inlineStr">
        <is>
          <t>Infrastructure</t>
        </is>
      </c>
      <c r="C19" s="87" t="n">
        <v>79</v>
      </c>
      <c r="D19" s="88" t="n">
        <v>0.359</v>
      </c>
      <c r="E19" s="57" t="inlineStr">
        <is>
          <t>Largely fixed — scales in steps</t>
        </is>
      </c>
    </row>
    <row r="20" ht="20" customHeight="1">
      <c r="B20" s="8" t="inlineStr">
        <is>
          <t>LLM (Gemini 2.0 Flash)</t>
        </is>
      </c>
      <c r="C20" s="89" t="n">
        <v>21</v>
      </c>
      <c r="D20" s="90" t="n">
        <v>0.095</v>
      </c>
      <c r="E20" s="58" t="inlineStr">
        <is>
          <t>Very cheap — model economics are excellent</t>
        </is>
      </c>
    </row>
    <row r="21" ht="20" customHeight="1">
      <c r="B21" s="5" t="inlineStr">
        <is>
          <t>Monitoring / Misc</t>
        </is>
      </c>
      <c r="C21" s="87" t="n">
        <v>10</v>
      </c>
      <c r="D21" s="88" t="n">
        <v>0.045</v>
      </c>
      <c r="E21" s="57" t="inlineStr">
        <is>
          <t>Fixed overhead</t>
        </is>
      </c>
    </row>
    <row r="24" ht="26" customHeight="1">
      <c r="B24" s="3" t="inlineStr">
        <is>
          <t xml:space="preserve">  OPTIMIZATION OPPORTUNITIES</t>
        </is>
      </c>
    </row>
    <row r="25" ht="20" customHeight="1">
      <c r="B25" s="5" t="inlineStr">
        <is>
          <t>Switch to DuckDuckGo (free)</t>
        </is>
      </c>
      <c r="C25" s="41" t="inlineStr">
        <is>
          <t>Save $50/mo</t>
        </is>
      </c>
      <c r="D25" s="57" t="inlineStr">
        <is>
          <t>Rate limited — only viable for very small batches</t>
        </is>
      </c>
    </row>
    <row r="26" ht="20" customHeight="1">
      <c r="B26" s="8" t="inlineStr">
        <is>
          <t>Use Groq LLM (free tier)</t>
        </is>
      </c>
      <c r="C26" s="43" t="inlineStr">
        <is>
          <t>Save $21/mo</t>
        </is>
      </c>
      <c r="D26" s="58" t="inlineStr">
        <is>
          <t>Lower quality; free tier has strict RPM limits</t>
        </is>
      </c>
    </row>
    <row r="27" ht="20" customHeight="1">
      <c r="B27" s="5" t="inlineStr">
        <is>
          <t>Cache search results</t>
        </is>
      </c>
      <c r="C27" s="41" t="inlineStr">
        <is>
          <t>Save 30-40%</t>
        </is>
      </c>
      <c r="D27" s="57" t="inlineStr">
        <is>
          <t>Many companies share same domain — dedup URLs</t>
        </is>
      </c>
    </row>
    <row r="28" ht="20" customHeight="1">
      <c r="B28" s="8" t="inlineStr">
        <is>
          <t>Reduce MAX_URLS_TO_CRAWL to 2</t>
        </is>
      </c>
      <c r="C28" s="43" t="inlineStr">
        <is>
          <t>Save ~$20/mo</t>
        </is>
      </c>
      <c r="D28" s="58" t="inlineStr">
        <is>
          <t>Fewer crawl requests; may reduce extraction quality</t>
        </is>
      </c>
    </row>
    <row r="29" ht="20" customHeight="1">
      <c r="B29" s="5" t="inlineStr">
        <is>
          <t>Batch monthly re-processing</t>
        </is>
      </c>
      <c r="C29" s="41" t="inlineStr">
        <is>
          <t>Save 50%</t>
        </is>
      </c>
      <c r="D29" s="57" t="inlineStr">
        <is>
          <t>Only re-process companies with stale data</t>
        </is>
      </c>
    </row>
    <row r="30" ht="20" customHeight="1">
      <c r="B30" s="8" t="inlineStr">
        <is>
          <t>Self-host Ollama LLM</t>
        </is>
      </c>
      <c r="C30" s="43" t="inlineStr">
        <is>
          <t>Save ~$21/mo</t>
        </is>
      </c>
      <c r="D30" s="58" t="inlineStr">
        <is>
          <t>Requires ~$50-100 GPU server — breaks even at 5k/mo+</t>
        </is>
      </c>
    </row>
  </sheetData>
  <mergeCells count="16">
    <mergeCell ref="B3:G3"/>
    <mergeCell ref="B16:G16"/>
    <mergeCell ref="B24:G24"/>
    <mergeCell ref="D30:H30"/>
    <mergeCell ref="E17:H17"/>
    <mergeCell ref="E18:H18"/>
    <mergeCell ref="D25:H25"/>
    <mergeCell ref="B1:G1"/>
    <mergeCell ref="E20:H20"/>
    <mergeCell ref="E21:H21"/>
    <mergeCell ref="D27:H27"/>
    <mergeCell ref="D28:H28"/>
    <mergeCell ref="B14:I14"/>
    <mergeCell ref="D29:H29"/>
    <mergeCell ref="E19:H19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2026-02-25T15:54:05Z</dcterms:created>
  <dcterms:modified xmlns:dcterms="http://purl.org/dc/terms/" xmlns:xsi="http://www.w3.org/2001/XMLSchema-instance" xsi:type="dcterms:W3CDTF">2026-02-25T15:54:05Z</dcterms:modified>
</cp:coreProperties>
</file>